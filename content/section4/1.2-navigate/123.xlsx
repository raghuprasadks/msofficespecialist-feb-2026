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kaushalya\consultancy\surana\2026\excel\workshop\content\section4\1.2-navigate\"/>
    </mc:Choice>
  </mc:AlternateContent>
  <xr:revisionPtr revIDLastSave="0" documentId="13_ncr:1_{28ED47A1-8FE8-4C93-9F08-4F50A240F5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 Plan Budget" sheetId="1" r:id="rId1"/>
    <sheet name="Maintenance Schedule" sheetId="2" r:id="rId2"/>
    <sheet name="Profit Forecast" sheetId="9" r:id="rId3"/>
  </sheets>
  <definedNames>
    <definedName name="Advances">#REF!</definedName>
    <definedName name="ColumnTitle1">#REF!</definedName>
    <definedName name="NewSet">'Marketing Plan Budget'!$B$4:$E$7</definedName>
    <definedName name="Plan">'Marketing Plan Budget'!$C$4:$G$10</definedName>
    <definedName name="_xlnm.Print_Titles" localSheetId="0">'Marketing Plan Budget'!$3:$3</definedName>
    <definedName name="Sub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G11" i="1" l="1"/>
  <c r="F11" i="1"/>
  <c r="E11" i="1"/>
  <c r="D11" i="1"/>
  <c r="G11" i="9" l="1"/>
  <c r="F11" i="9"/>
  <c r="E11" i="9"/>
  <c r="D11" i="9"/>
  <c r="C11" i="9"/>
  <c r="B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tc={F954C1DB-FF1A-486B-A5A4-EFA98F8F95E1}</author>
  </authors>
  <commentList>
    <comment ref="A11" authorId="0" shapeId="0" xr:uid="{F954C1DB-FF1A-486B-A5A4-EFA98F8F95E1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comment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DMurphy</author>
  </authors>
  <commentList>
    <comment ref="C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In normal circumstances the plane must be removed from service</t>
        </r>
      </text>
    </comment>
    <comment ref="C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No service removal required</t>
        </r>
      </text>
    </comment>
    <comment ref="C1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Complete on the tarmac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DMurphy</author>
  </authors>
  <commentList>
    <comment ref="G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DMurphy:</t>
        </r>
        <r>
          <rPr>
            <sz val="9"/>
            <color indexed="81"/>
            <rFont val="Tahoma"/>
            <family val="2"/>
          </rPr>
          <t xml:space="preserve">
Too much!</t>
        </r>
      </text>
    </comment>
  </commentList>
</comments>
</file>

<file path=xl/sharedStrings.xml><?xml version="1.0" encoding="utf-8"?>
<sst xmlns="http://schemas.openxmlformats.org/spreadsheetml/2006/main" count="100" uniqueCount="47">
  <si>
    <t>Television Advertising</t>
  </si>
  <si>
    <t>Radio</t>
  </si>
  <si>
    <t>Internet</t>
  </si>
  <si>
    <t>Newspaper Advertising</t>
  </si>
  <si>
    <t>New Brand Launch Parties</t>
  </si>
  <si>
    <t>Staff Hires</t>
  </si>
  <si>
    <t>Aircraft Livery Changes</t>
  </si>
  <si>
    <t>Total</t>
  </si>
  <si>
    <t>Category/Year</t>
  </si>
  <si>
    <t>Boeing 747</t>
  </si>
  <si>
    <t>Airbus 355</t>
  </si>
  <si>
    <t>Fockwer 50</t>
  </si>
  <si>
    <t>Lear Jet 250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</si>
  <si>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</si>
  <si>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</si>
  <si>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</si>
  <si>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</si>
  <si>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</si>
  <si>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</si>
  <si>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</si>
  <si>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</si>
  <si>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</si>
  <si>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</si>
  <si>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</si>
  <si>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</si>
  <si>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</t>
  </si>
  <si>
    <t>B</t>
  </si>
  <si>
    <t>C</t>
  </si>
  <si>
    <t>Key</t>
  </si>
  <si>
    <t>Complete Engine Overhaul</t>
  </si>
  <si>
    <t>Detailed Inspection</t>
  </si>
  <si>
    <t>Look over</t>
  </si>
  <si>
    <t>Review Budget</t>
  </si>
  <si>
    <t>Flights</t>
  </si>
  <si>
    <t>Passenger Services</t>
  </si>
  <si>
    <t>In House Entertainment</t>
  </si>
  <si>
    <t>Duty Free</t>
  </si>
  <si>
    <t>Raffle Tickets</t>
  </si>
  <si>
    <t>Car Hire margin</t>
  </si>
  <si>
    <t>Hotel Referrals</t>
  </si>
  <si>
    <t>Profit Forecast (Million Euro) 2017 to 2022</t>
  </si>
  <si>
    <t>Figure 1</t>
  </si>
  <si>
    <t>Figure 2</t>
  </si>
  <si>
    <t>Marketing Budget 2017 to 2022</t>
  </si>
  <si>
    <t>Contact us by eMail</t>
  </si>
  <si>
    <t>Number of Each Type</t>
  </si>
  <si>
    <t>Maintenance Schedule - Primary 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</si>
</sst>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-2]\ #,##0.00;[Red][$€-2]\ #,##0.00"/>
    <numFmt numFmtId="165" formatCode="[$€-2]\ #,##0;[Red][$€-2]\ #,##0"/>
    <numFmt numFmtId="166" formatCode="&quot;$&quot;#,##0.00_);\(&quot;$&quot;#,##0.00\)"/>
    <numFmt numFmtId="167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4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inor"/>
    </font>
    <font>
      <i/>
      <u/>
      <sz val="9"/>
      <color theme="1" tint="4.9989318521683403E-2"/>
      <name val="Calibri"/>
      <family val="2"/>
      <scheme val="major"/>
    </font>
    <font>
      <b/>
      <sz val="11"/>
      <color theme="4" tint="-0.499984740745262"/>
      <name val="Calibri"/>
      <family val="2"/>
      <scheme val="major"/>
    </font>
    <font>
      <sz val="11"/>
      <color theme="1" tint="0.24994659260841701"/>
      <name val="Calibri"/>
      <family val="2"/>
      <scheme val="major"/>
    </font>
    <font>
      <b/>
      <sz val="12"/>
      <color theme="4" tint="-0.499984740745262"/>
      <name val="Calibri"/>
      <family val="2"/>
      <scheme val="maj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lightDown">
        <bgColor theme="6" tint="0.7999511703848384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</borders>
  <cellStyleXfs count="18">
    <xf numFmtId="0" fontId="0" fillId="0" borderId="0"/>
    <xf numFmtId="0" fontId="5" fillId="0" borderId="0" applyNumberFormat="0" applyFill="0" applyBorder="0" applyAlignment="0" applyProtection="0"/>
    <xf numFmtId="0" fontId="8" fillId="0" borderId="0" applyProtection="0">
      <alignment vertical="top"/>
    </xf>
    <xf numFmtId="0" fontId="9" fillId="0" borderId="0"/>
    <xf numFmtId="0" fontId="10" fillId="0" borderId="0" applyProtection="0">
      <alignment vertical="top"/>
    </xf>
    <xf numFmtId="0" fontId="11" fillId="0" borderId="0" applyFill="0" applyProtection="0">
      <alignment horizontal="right" vertical="center" wrapText="1"/>
    </xf>
    <xf numFmtId="0" fontId="9" fillId="0" borderId="2">
      <alignment horizontal="left" vertical="center" wrapText="1"/>
    </xf>
    <xf numFmtId="0" fontId="12" fillId="0" borderId="0" applyFill="0" applyProtection="0">
      <alignment horizontal="right" vertical="center" indent="1"/>
    </xf>
    <xf numFmtId="14" fontId="9" fillId="0" borderId="0">
      <alignment horizontal="left" vertical="center"/>
    </xf>
    <xf numFmtId="0" fontId="13" fillId="0" borderId="0" applyFill="0" applyProtection="0"/>
    <xf numFmtId="0" fontId="9" fillId="0" borderId="0">
      <alignment vertical="center"/>
    </xf>
    <xf numFmtId="0" fontId="9" fillId="0" borderId="0">
      <alignment vertical="center" wrapText="1"/>
    </xf>
    <xf numFmtId="166" fontId="9" fillId="0" borderId="0" applyFont="0" applyFill="0" applyBorder="0" applyProtection="0">
      <alignment vertical="center"/>
    </xf>
    <xf numFmtId="166" fontId="2" fillId="2" borderId="3">
      <alignment horizontal="center"/>
    </xf>
    <xf numFmtId="166" fontId="2" fillId="0" borderId="4">
      <alignment horizontal="center"/>
    </xf>
    <xf numFmtId="167" fontId="2" fillId="2" borderId="5">
      <alignment horizontal="center"/>
    </xf>
    <xf numFmtId="0" fontId="14" fillId="4" borderId="0" applyNumberFormat="0" applyBorder="0" applyAlignment="0" applyProtection="0"/>
    <xf numFmtId="164" fontId="14" fillId="0" borderId="1" applyAlignment="0"/>
  </cellStyleXfs>
  <cellXfs count="18">
    <xf numFmtId="0" fontId="0" fillId="0" borderId="0" xfId="0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1" xfId="0" applyFont="1" applyBorder="1"/>
    <xf numFmtId="0" fontId="3" fillId="0" borderId="0" xfId="0" applyFont="1" applyAlignment="1">
      <alignment horizontal="left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right"/>
    </xf>
    <xf numFmtId="9" fontId="0" fillId="0" borderId="0" xfId="0" applyNumberFormat="1"/>
    <xf numFmtId="0" fontId="4" fillId="3" borderId="1" xfId="0" applyFont="1" applyFill="1" applyBorder="1"/>
    <xf numFmtId="164" fontId="0" fillId="3" borderId="1" xfId="0" applyNumberFormat="1" applyFill="1" applyBorder="1"/>
    <xf numFmtId="164" fontId="2" fillId="3" borderId="1" xfId="0" applyNumberFormat="1" applyFont="1" applyFill="1" applyBorder="1"/>
    <xf numFmtId="0" fontId="2" fillId="0" borderId="0" xfId="0" applyFont="1" applyAlignment="1">
      <alignment horizontal="center"/>
    </xf>
    <xf numFmtId="0" fontId="5" fillId="0" borderId="0" xfId="1" applyFill="1" applyAlignment="1">
      <alignment horizontal="center"/>
    </xf>
    <xf numFmtId="0" fontId="0" fillId="0" borderId="0" xfId="0" applyFill="1"/>
    <xf numFmtId="0" fontId="5" fillId="0" borderId="0" xfId="1" applyFill="1"/>
  </cellXfs>
  <cellStyles count="18">
    <cellStyle name="20% - Accent3" xfId="16" builtinId="38" customBuiltin="1"/>
    <cellStyle name="Advances" xfId="14" xr:uid="{00000000-0005-0000-0000-000001000000}"/>
    <cellStyle name="Currency 2" xfId="12" xr:uid="{00000000-0005-0000-0000-000002000000}"/>
    <cellStyle name="Date" xfId="8" xr:uid="{00000000-0005-0000-0000-000003000000}"/>
    <cellStyle name="DM" xfId="17" xr:uid="{00000000-0005-0000-0000-000004000000}"/>
    <cellStyle name="Header Row" xfId="10" xr:uid="{00000000-0005-0000-0000-000005000000}"/>
    <cellStyle name="Heading 1 2" xfId="9" xr:uid="{00000000-0005-0000-0000-000006000000}"/>
    <cellStyle name="Heading 2 2" xfId="5" xr:uid="{00000000-0005-0000-0000-000007000000}"/>
    <cellStyle name="Heading 3 2" xfId="7" xr:uid="{00000000-0005-0000-0000-000008000000}"/>
    <cellStyle name="Heading 4 2" xfId="4" xr:uid="{00000000-0005-0000-0000-000009000000}"/>
    <cellStyle name="Hyperlink" xfId="1" builtinId="8"/>
    <cellStyle name="Label Text" xfId="6" xr:uid="{00000000-0005-0000-0000-00000B000000}"/>
    <cellStyle name="Normal" xfId="0" builtinId="0"/>
    <cellStyle name="Normal 2" xfId="3" xr:uid="{00000000-0005-0000-0000-00000D000000}"/>
    <cellStyle name="Subtotal" xfId="13" xr:uid="{00000000-0005-0000-0000-00000E000000}"/>
    <cellStyle name="Table Text" xfId="11" xr:uid="{00000000-0005-0000-0000-00000F000000}"/>
    <cellStyle name="Title 2" xfId="2" xr:uid="{00000000-0005-0000-0000-000010000000}"/>
    <cellStyle name="Total 2" xfId="15" xr:uid="{00000000-0005-0000-0000-000011000000}"/>
  </cellStyles>
  <dxfs count="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Forecast 2017 to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Forecast'!$A$4</c:f>
              <c:strCache>
                <c:ptCount val="1"/>
                <c:pt idx="0">
                  <c:v>Flights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Forecast'!$B$4:$G$4</c:f>
              <c:numCache>
                <c:formatCode>[$€-2]\ #,##0;[Red][$€-2]\ #,##0</c:formatCode>
                <c:ptCount val="6"/>
                <c:pt idx="0">
                  <c:v>324</c:v>
                </c:pt>
                <c:pt idx="1">
                  <c:v>378</c:v>
                </c:pt>
                <c:pt idx="2">
                  <c:v>412</c:v>
                </c:pt>
                <c:pt idx="3">
                  <c:v>455</c:v>
                </c:pt>
                <c:pt idx="4">
                  <c:v>533</c:v>
                </c:pt>
                <c:pt idx="5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0-4613-B9B7-AA6DC3E46907}"/>
            </c:ext>
          </c:extLst>
        </c:ser>
        <c:ser>
          <c:idx val="1"/>
          <c:order val="1"/>
          <c:tx>
            <c:strRef>
              <c:f>'Profit Forecast'!$A$5</c:f>
              <c:strCache>
                <c:ptCount val="1"/>
                <c:pt idx="0">
                  <c:v>Passenger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Forecast'!$B$5:$G$5</c:f>
              <c:numCache>
                <c:formatCode>[$€-2]\ #,##0;[Red][$€-2]\ #,##0</c:formatCode>
                <c:ptCount val="6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25</c:v>
                </c:pt>
                <c:pt idx="4">
                  <c:v>32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0-4613-B9B7-AA6DC3E46907}"/>
            </c:ext>
          </c:extLst>
        </c:ser>
        <c:ser>
          <c:idx val="2"/>
          <c:order val="2"/>
          <c:tx>
            <c:strRef>
              <c:f>'Profit Forecast'!$A$6</c:f>
              <c:strCache>
                <c:ptCount val="1"/>
                <c:pt idx="0">
                  <c:v>In House Entertainment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Forecast'!$B$6:$G$6</c:f>
              <c:numCache>
                <c:formatCode>[$€-2]\ #,##0;[Red][$€-2]\ #,##0</c:formatCode>
                <c:ptCount val="6"/>
                <c:pt idx="0">
                  <c:v>32</c:v>
                </c:pt>
                <c:pt idx="1">
                  <c:v>37</c:v>
                </c:pt>
                <c:pt idx="2">
                  <c:v>42</c:v>
                </c:pt>
                <c:pt idx="3">
                  <c:v>46</c:v>
                </c:pt>
                <c:pt idx="4">
                  <c:v>49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0-4613-B9B7-AA6DC3E46907}"/>
            </c:ext>
          </c:extLst>
        </c:ser>
        <c:ser>
          <c:idx val="3"/>
          <c:order val="3"/>
          <c:tx>
            <c:strRef>
              <c:f>'Profit Forecast'!$A$7</c:f>
              <c:strCache>
                <c:ptCount val="1"/>
                <c:pt idx="0">
                  <c:v>Duty Free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Forecast'!$B$7:$G$7</c:f>
              <c:numCache>
                <c:formatCode>[$€-2]\ #,##0;[Red][$€-2]\ #,##0</c:formatCode>
                <c:ptCount val="6"/>
                <c:pt idx="0">
                  <c:v>111</c:v>
                </c:pt>
                <c:pt idx="1">
                  <c:v>134</c:v>
                </c:pt>
                <c:pt idx="2">
                  <c:v>157</c:v>
                </c:pt>
                <c:pt idx="3">
                  <c:v>177</c:v>
                </c:pt>
                <c:pt idx="4">
                  <c:v>189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80-4613-B9B7-AA6DC3E46907}"/>
            </c:ext>
          </c:extLst>
        </c:ser>
        <c:ser>
          <c:idx val="4"/>
          <c:order val="4"/>
          <c:tx>
            <c:strRef>
              <c:f>'Profit Forecast'!$A$8</c:f>
              <c:strCache>
                <c:ptCount val="1"/>
                <c:pt idx="0">
                  <c:v>Raffle Tickets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Forecast'!$B$8:$G$8</c:f>
              <c:numCache>
                <c:formatCode>[$€-2]\ #,##0;[Red][$€-2]\ #,##0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80-4613-B9B7-AA6DC3E46907}"/>
            </c:ext>
          </c:extLst>
        </c:ser>
        <c:ser>
          <c:idx val="5"/>
          <c:order val="5"/>
          <c:tx>
            <c:strRef>
              <c:f>'Profit Forecast'!$A$9</c:f>
              <c:strCache>
                <c:ptCount val="1"/>
                <c:pt idx="0">
                  <c:v>Car Hire margin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Forecast'!$B$9:$G$9</c:f>
              <c:numCache>
                <c:formatCode>[$€-2]\ #,##0;[Red][$€-2]\ #,##0</c:formatCode>
                <c:ptCount val="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80-4613-B9B7-AA6DC3E46907}"/>
            </c:ext>
          </c:extLst>
        </c:ser>
        <c:ser>
          <c:idx val="6"/>
          <c:order val="6"/>
          <c:tx>
            <c:strRef>
              <c:f>'Profit Forecast'!$A$10</c:f>
              <c:strCache>
                <c:ptCount val="1"/>
                <c:pt idx="0">
                  <c:v>Hotel Referrals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Forecast'!$B$10:$G$10</c:f>
              <c:numCache>
                <c:formatCode>[$€-2]\ #,##0;[Red][$€-2]\ #,##0</c:formatCode>
                <c:ptCount val="6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18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80-4613-B9B7-AA6DC3E46907}"/>
            </c:ext>
          </c:extLst>
        </c:ser>
        <c:ser>
          <c:idx val="7"/>
          <c:order val="7"/>
          <c:tx>
            <c:strRef>
              <c:f>'Profit Forecast'!$A$11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'Profit Forecast'!$B$3:$G$3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'Profit Forecast'!$B$11:$G$11</c:f>
              <c:numCache>
                <c:formatCode>[$€-2]\ #,##0;[Red][$€-2]\ #,##0</c:formatCode>
                <c:ptCount val="6"/>
                <c:pt idx="0">
                  <c:v>495</c:v>
                </c:pt>
                <c:pt idx="1">
                  <c:v>587</c:v>
                </c:pt>
                <c:pt idx="2">
                  <c:v>661</c:v>
                </c:pt>
                <c:pt idx="3">
                  <c:v>738</c:v>
                </c:pt>
                <c:pt idx="4">
                  <c:v>844</c:v>
                </c:pt>
                <c:pt idx="5">
                  <c:v>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80-4613-B9B7-AA6DC3E46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3944672"/>
        <c:axId val="1813945088"/>
      </c:barChart>
      <c:catAx>
        <c:axId val="18139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5088"/>
        <c:crosses val="autoZero"/>
        <c:auto val="1"/>
        <c:lblAlgn val="ctr"/>
        <c:lblOffset val="100"/>
        <c:noMultiLvlLbl val="0"/>
      </c:catAx>
      <c:valAx>
        <c:axId val="18139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;[Red][$€-2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9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bowtielearning@gmail.com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1295399</xdr:colOff>
      <xdr:row>13</xdr:row>
      <xdr:rowOff>152400</xdr:rowOff>
    </xdr:from>
    <xdr:to>
      <xdr:col>5</xdr:col>
      <xdr:colOff>116601</xdr:colOff>
      <xdr:row>22</xdr:row>
      <xdr:rowOff>66137</xdr:rowOff>
    </xdr:to>
    <xdr:pic>
      <xdr:nvPicPr>
        <xdr:cNvPr id="7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72E037-2DD0-40CE-8C98-549EA9E8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399" y="2771775"/>
          <a:ext cx="4831477" cy="1628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1238250</xdr:colOff>
      <xdr:row>13</xdr:row>
      <xdr:rowOff>90487</xdr:rowOff>
    </xdr:from>
    <xdr:to>
      <xdr:col>7</xdr:col>
      <xdr:colOff>66675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ghu prasad konandur" id="{044C03AF-67BE-45A7-9EFF-48EB8EEE661B}" userId="ca0749244a5ef575" providerId="Windows Live"/>
</personList>
</file>

<file path=xl/theme/theme1.xml><?xml version="1.0" encoding="utf-8"?>
<a:theme xmlns:a="http://schemas.openxmlformats.org/drawingml/2006/main" name="bowtielearning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owtielearning" id="{EA7FB0E0-C048-4D2A-AF71-AE897559481B}" vid="{B8B7686D-9101-4A02-A45B-9AD7A82364DC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5-08-05T09:27:19.53" personId="{044C03AF-67BE-45A7-9EFF-48EB8EEE661B}" id="{F954C1DB-FF1A-486B-A5A4-EFA98F8F95E1}">
    <text>Test comment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microsoft.com/office/2017/10/relationships/threadedComment" Target="../threadedComments/threadedComment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www.mosuniversity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zoomScaleNormal="100" workbookViewId="0">
      <selection activeCell="B13" sqref="B13"/>
    </sheetView>
  </sheetViews>
  <sheetFormatPr defaultRowHeight="14.4" x14ac:dyDescent="0.3"/>
  <cols>
    <col min="1" max="2" width="24.33203125" customWidth="1"/>
    <col min="3" max="3" width="18.44140625" customWidth="1"/>
    <col min="4" max="8" width="11.5546875" customWidth="1"/>
    <col min="11" max="11" width="11.5546875" bestFit="1" customWidth="1"/>
    <col min="12" max="12" width="12" bestFit="1" customWidth="1"/>
    <col min="13" max="16" width="11.5546875" bestFit="1" customWidth="1"/>
    <col min="17" max="17" width="10.5546875" bestFit="1" customWidth="1"/>
    <col min="18" max="22" width="11.5546875" bestFit="1" customWidth="1"/>
  </cols>
  <sheetData>
    <row r="1" spans="1:15" x14ac:dyDescent="0.3">
      <c r="A1" s="15" t="s">
        <v>43</v>
      </c>
      <c r="B1" s="15"/>
      <c r="C1" s="15"/>
      <c r="D1" s="15"/>
      <c r="E1" s="15"/>
      <c r="F1" s="15"/>
      <c r="G1" s="15"/>
    </row>
    <row r="2" spans="1:15" x14ac:dyDescent="0.3">
      <c r="J2" t="s">
        <v>44</v>
      </c>
    </row>
    <row r="3" spans="1:15" x14ac:dyDescent="0.3">
      <c r="A3" s="3" t="s">
        <v>8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3">
        <v>2022</v>
      </c>
    </row>
    <row r="4" spans="1:15" x14ac:dyDescent="0.3">
      <c r="A4" s="5" t="s">
        <v>0</v>
      </c>
      <c r="B4" s="1">
        <v>21000</v>
      </c>
      <c r="C4" s="1">
        <v>38000</v>
      </c>
      <c r="D4" s="1">
        <v>45000</v>
      </c>
      <c r="E4" s="1">
        <v>52000</v>
      </c>
      <c r="F4" s="1">
        <v>59000</v>
      </c>
      <c r="G4" s="1">
        <v>65000</v>
      </c>
    </row>
    <row r="5" spans="1:15" ht="20.25" customHeight="1" x14ac:dyDescent="0.3">
      <c r="A5" s="5" t="s">
        <v>1</v>
      </c>
      <c r="B5" s="9">
        <v>7600</v>
      </c>
      <c r="C5" s="1">
        <v>9000</v>
      </c>
      <c r="D5" s="1">
        <v>11000</v>
      </c>
      <c r="E5" s="1">
        <v>13000</v>
      </c>
      <c r="F5" s="1">
        <v>15000</v>
      </c>
      <c r="G5" s="1">
        <v>17000</v>
      </c>
    </row>
    <row r="6" spans="1:15" x14ac:dyDescent="0.3">
      <c r="A6" s="5" t="s">
        <v>2</v>
      </c>
      <c r="B6" s="1">
        <v>12987</v>
      </c>
      <c r="C6" s="1">
        <v>15000</v>
      </c>
      <c r="D6" s="1">
        <v>17000</v>
      </c>
      <c r="E6" s="1">
        <v>19000</v>
      </c>
      <c r="F6" s="1">
        <v>21000</v>
      </c>
      <c r="G6" s="1">
        <v>23000</v>
      </c>
    </row>
    <row r="7" spans="1:15" x14ac:dyDescent="0.3">
      <c r="A7" s="5" t="s">
        <v>3</v>
      </c>
      <c r="B7" s="1">
        <v>1000</v>
      </c>
      <c r="C7" s="1">
        <v>2000</v>
      </c>
      <c r="D7" s="1">
        <v>4000</v>
      </c>
      <c r="E7" s="1">
        <v>6000</v>
      </c>
      <c r="F7" s="1">
        <v>8000</v>
      </c>
      <c r="G7" s="1">
        <v>10000</v>
      </c>
    </row>
    <row r="8" spans="1:15" x14ac:dyDescent="0.3">
      <c r="A8" s="5" t="s">
        <v>4</v>
      </c>
      <c r="B8" s="1">
        <v>20000</v>
      </c>
      <c r="C8" s="1">
        <v>25000</v>
      </c>
      <c r="D8" s="1">
        <v>29000</v>
      </c>
      <c r="E8" s="1">
        <v>31000</v>
      </c>
      <c r="F8" s="1">
        <v>33000</v>
      </c>
      <c r="G8" s="1">
        <v>36000</v>
      </c>
    </row>
    <row r="9" spans="1:15" x14ac:dyDescent="0.3">
      <c r="A9" s="5" t="s">
        <v>6</v>
      </c>
      <c r="B9" s="1">
        <v>98000</v>
      </c>
      <c r="C9" s="1">
        <v>124000</v>
      </c>
      <c r="D9" s="1">
        <v>140000</v>
      </c>
      <c r="E9" s="1">
        <v>150000</v>
      </c>
      <c r="F9" s="1">
        <v>156000</v>
      </c>
      <c r="G9" s="1">
        <v>170000</v>
      </c>
    </row>
    <row r="10" spans="1:15" x14ac:dyDescent="0.3">
      <c r="A10" s="5" t="s">
        <v>5</v>
      </c>
      <c r="B10" s="1">
        <v>56000</v>
      </c>
      <c r="C10" s="1">
        <v>68000</v>
      </c>
      <c r="D10" s="1">
        <v>74000</v>
      </c>
      <c r="E10" s="1">
        <v>80000</v>
      </c>
      <c r="F10" s="1">
        <v>85000</v>
      </c>
      <c r="G10" s="1">
        <v>90000</v>
      </c>
    </row>
    <row r="11" spans="1:15" x14ac:dyDescent="0.3">
      <c r="A11" s="11" t="s">
        <v>7</v>
      </c>
      <c r="B11" s="12">
        <f>SUM(B4:B10)</f>
        <v>216587</v>
      </c>
      <c r="C11" s="13">
        <f>SUM(C4:C10)</f>
        <v>281000</v>
      </c>
      <c r="D11" s="13">
        <f t="shared" ref="D11:G11" si="0">SUM(D4:D10)</f>
        <v>320000</v>
      </c>
      <c r="E11" s="13">
        <f t="shared" si="0"/>
        <v>351000</v>
      </c>
      <c r="F11" s="13">
        <f t="shared" si="0"/>
        <v>377000</v>
      </c>
      <c r="G11" s="13">
        <f t="shared" si="0"/>
        <v>411000</v>
      </c>
    </row>
    <row r="12" spans="1:15" x14ac:dyDescent="0.3">
      <c r="O12" s="10"/>
    </row>
    <row r="31" spans="4:5" x14ac:dyDescent="0.3">
      <c r="D31" s="14" t="s">
        <v>41</v>
      </c>
      <c r="E31" s="14"/>
    </row>
  </sheetData>
  <mergeCells count="2">
    <mergeCell ref="D31:E31"/>
    <mergeCell ref="A1:G1"/>
  </mergeCells>
  <conditionalFormatting sqref="G11">
    <cfRule type="cellIs" dxfId="1" priority="5" operator="greaterThan">
      <formula>500000000</formula>
    </cfRule>
  </conditionalFormatting>
  <dataValidations count="1">
    <dataValidation type="decimal" operator="lessThan" allowBlank="1" showInputMessage="1" showErrorMessage="1" sqref="G11" xr:uid="{C90485F9-A415-40B0-814B-C306A4A287B5}">
      <formula1>500000</formula1>
    </dataValidation>
  </dataValidations>
  <hyperlinks>
    <hyperlink ref="A1:G1" r:id="rId1" display="Marketing Budget 2017 to 2022" xr:uid="{6783E537-FA71-4857-89ED-93EF0FF3B910}"/>
  </hyperlinks>
  <pageMargins left="0.23622047244094491" right="0.23622047244094491" top="0.74803149606299213" bottom="0.74803149606299213" header="0.31496062992125984" footer="0.31496062992125984"/>
  <pageSetup paperSize="9" orientation="landscape" horizontalDpi="0" verticalDpi="0" r:id="rId2"/>
  <headerFooter>
    <oddHeader>&amp;L&amp;G&amp;CMurphy&amp;RDublin</oddHeader>
    <oddFooter>&amp;L&amp;P of &amp;N &amp;D&amp;D &amp;T&amp;C&amp;Z&amp;F &amp;F &amp;A</oddFooter>
  </headerFooter>
  <ignoredErrors>
    <ignoredError sqref="C11:G11" formulaRange="1"/>
  </ignoredErrors>
  <drawing r:id="rId3"/>
  <legacyDrawing r:id="rId4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workbookViewId="0">
      <selection activeCell="B20" sqref="B20"/>
    </sheetView>
  </sheetViews>
  <sheetFormatPr defaultRowHeight="14.4" x14ac:dyDescent="0.3"/>
  <cols>
    <col min="1" max="1" width="18.88671875" customWidth="1"/>
    <col min="16" max="16" width="20" bestFit="1" customWidth="1"/>
    <col min="20" max="25" width="11.5546875" bestFit="1" customWidth="1"/>
  </cols>
  <sheetData>
    <row r="1" spans="1:18" x14ac:dyDescent="0.3">
      <c r="B1" s="16" t="s">
        <v>46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P1" s="14" t="s">
        <v>45</v>
      </c>
      <c r="Q1" s="14"/>
      <c r="R1" s="14"/>
    </row>
    <row r="2" spans="1:18" x14ac:dyDescent="0.3"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P2" s="2" t="s">
        <v>25</v>
      </c>
      <c r="Q2" s="2" t="s">
        <v>26</v>
      </c>
      <c r="R2" s="2" t="s">
        <v>27</v>
      </c>
    </row>
    <row r="3" spans="1:18" x14ac:dyDescent="0.3">
      <c r="A3" s="2" t="s">
        <v>9</v>
      </c>
      <c r="B3" s="7" t="s">
        <v>25</v>
      </c>
      <c r="C3" s="7" t="s">
        <v>26</v>
      </c>
      <c r="D3" s="7" t="s">
        <v>26</v>
      </c>
      <c r="E3" s="7" t="s">
        <v>26</v>
      </c>
      <c r="F3" s="7" t="s">
        <v>25</v>
      </c>
      <c r="G3" s="7" t="s">
        <v>26</v>
      </c>
      <c r="H3" s="7" t="s">
        <v>26</v>
      </c>
      <c r="I3" s="7" t="s">
        <v>27</v>
      </c>
      <c r="J3" s="7" t="s">
        <v>25</v>
      </c>
      <c r="K3" s="7" t="s">
        <v>26</v>
      </c>
      <c r="L3" s="7" t="s">
        <v>26</v>
      </c>
      <c r="M3" s="7" t="s">
        <v>27</v>
      </c>
    </row>
    <row r="4" spans="1:18" x14ac:dyDescent="0.3">
      <c r="A4" s="2" t="s">
        <v>10</v>
      </c>
      <c r="B4" s="7" t="s">
        <v>25</v>
      </c>
      <c r="C4" s="7" t="s">
        <v>26</v>
      </c>
      <c r="D4" s="7" t="s">
        <v>27</v>
      </c>
      <c r="E4" s="7" t="s">
        <v>27</v>
      </c>
      <c r="F4" s="7" t="s">
        <v>26</v>
      </c>
      <c r="G4" s="7" t="s">
        <v>25</v>
      </c>
      <c r="H4" s="7" t="s">
        <v>27</v>
      </c>
      <c r="I4" s="7" t="s">
        <v>26</v>
      </c>
      <c r="J4" s="7" t="s">
        <v>27</v>
      </c>
      <c r="K4" s="7" t="s">
        <v>25</v>
      </c>
      <c r="L4" s="7" t="s">
        <v>26</v>
      </c>
      <c r="M4" s="7" t="s">
        <v>27</v>
      </c>
    </row>
    <row r="5" spans="1:18" x14ac:dyDescent="0.3">
      <c r="A5" s="2" t="s">
        <v>11</v>
      </c>
      <c r="B5" s="7" t="s">
        <v>25</v>
      </c>
      <c r="C5" s="7" t="s">
        <v>26</v>
      </c>
      <c r="D5" s="7" t="s">
        <v>27</v>
      </c>
      <c r="E5" s="7" t="s">
        <v>27</v>
      </c>
      <c r="F5" s="7" t="s">
        <v>26</v>
      </c>
      <c r="G5" s="7" t="s">
        <v>25</v>
      </c>
      <c r="H5" s="7" t="s">
        <v>27</v>
      </c>
      <c r="I5" s="7" t="s">
        <v>27</v>
      </c>
      <c r="J5" s="7" t="s">
        <v>26</v>
      </c>
      <c r="K5" s="7" t="s">
        <v>25</v>
      </c>
      <c r="L5" s="7" t="s">
        <v>26</v>
      </c>
      <c r="M5" s="7" t="s">
        <v>27</v>
      </c>
    </row>
    <row r="6" spans="1:18" x14ac:dyDescent="0.3">
      <c r="A6" s="2" t="s">
        <v>12</v>
      </c>
      <c r="B6" s="7" t="s">
        <v>25</v>
      </c>
      <c r="C6" s="7" t="s">
        <v>26</v>
      </c>
      <c r="D6" s="7" t="s">
        <v>27</v>
      </c>
      <c r="E6" s="7" t="s">
        <v>27</v>
      </c>
      <c r="F6" s="7" t="s">
        <v>27</v>
      </c>
      <c r="G6" s="7" t="s">
        <v>25</v>
      </c>
      <c r="H6" s="7" t="s">
        <v>27</v>
      </c>
      <c r="I6" s="7" t="s">
        <v>27</v>
      </c>
      <c r="J6" s="7" t="s">
        <v>26</v>
      </c>
      <c r="K6" s="7" t="s">
        <v>27</v>
      </c>
      <c r="L6" s="7" t="s">
        <v>26</v>
      </c>
      <c r="M6" s="7" t="s">
        <v>27</v>
      </c>
    </row>
    <row r="8" spans="1:18" x14ac:dyDescent="0.3">
      <c r="B8" s="6" t="s">
        <v>28</v>
      </c>
    </row>
    <row r="9" spans="1:18" x14ac:dyDescent="0.3">
      <c r="B9" s="4" t="s">
        <v>25</v>
      </c>
      <c r="C9" s="4" t="s">
        <v>29</v>
      </c>
      <c r="D9" s="4"/>
      <c r="E9" s="4"/>
    </row>
    <row r="10" spans="1:18" x14ac:dyDescent="0.3">
      <c r="B10" s="4" t="s">
        <v>26</v>
      </c>
      <c r="C10" s="4" t="s">
        <v>30</v>
      </c>
      <c r="D10" s="4"/>
      <c r="E10" s="4"/>
    </row>
    <row r="11" spans="1:18" x14ac:dyDescent="0.3">
      <c r="B11" s="4" t="s">
        <v>27</v>
      </c>
      <c r="C11" s="4" t="s">
        <v>31</v>
      </c>
      <c r="D11" s="4"/>
      <c r="E11" s="4"/>
    </row>
    <row r="12" spans="1:18" x14ac:dyDescent="0.3">
      <c r="B12" t="s">
        <v>32</v>
      </c>
    </row>
  </sheetData>
  <mergeCells count="2">
    <mergeCell ref="B1:M1"/>
    <mergeCell ref="P1:R1"/>
  </mergeCells>
  <dataValidations count="1">
    <dataValidation type="list" allowBlank="1" showInputMessage="1" showErrorMessage="1" sqref="B9:B11" xr:uid="{00000000-0002-0000-0100-000000000000}">
      <formula1>"A,B,C"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Normal="100" workbookViewId="0">
      <selection sqref="A1:G1"/>
    </sheetView>
  </sheetViews>
  <sheetFormatPr defaultRowHeight="14.4" x14ac:dyDescent="0.3"/>
  <cols>
    <col min="1" max="2" width="24.33203125" customWidth="1"/>
    <col min="3" max="7" width="11.5546875" customWidth="1"/>
    <col min="12" max="13" width="11.109375" bestFit="1" customWidth="1"/>
  </cols>
  <sheetData>
    <row r="1" spans="1:7" ht="25.5" customHeight="1" x14ac:dyDescent="0.3">
      <c r="A1" s="17" t="s">
        <v>40</v>
      </c>
      <c r="B1" s="17"/>
      <c r="C1" s="17"/>
      <c r="D1" s="17"/>
      <c r="E1" s="17"/>
      <c r="F1" s="17"/>
      <c r="G1" s="17"/>
    </row>
    <row r="3" spans="1:7" x14ac:dyDescent="0.3">
      <c r="A3" s="3" t="s">
        <v>8</v>
      </c>
      <c r="B3" s="3">
        <v>2017</v>
      </c>
      <c r="C3" s="3">
        <v>2018</v>
      </c>
      <c r="D3" s="3">
        <v>2019</v>
      </c>
      <c r="E3" s="3">
        <v>2020</v>
      </c>
      <c r="F3" s="3">
        <v>2021</v>
      </c>
      <c r="G3" s="3">
        <v>2022</v>
      </c>
    </row>
    <row r="4" spans="1:7" x14ac:dyDescent="0.3">
      <c r="A4" s="5" t="s">
        <v>33</v>
      </c>
      <c r="B4" s="8">
        <v>324</v>
      </c>
      <c r="C4" s="8">
        <v>378</v>
      </c>
      <c r="D4" s="8">
        <v>412</v>
      </c>
      <c r="E4" s="8">
        <v>455</v>
      </c>
      <c r="F4" s="8">
        <v>533</v>
      </c>
      <c r="G4" s="8">
        <v>634</v>
      </c>
    </row>
    <row r="5" spans="1:7" x14ac:dyDescent="0.3">
      <c r="A5" s="5" t="s">
        <v>34</v>
      </c>
      <c r="B5" s="8">
        <v>15</v>
      </c>
      <c r="C5" s="8">
        <v>19</v>
      </c>
      <c r="D5" s="8">
        <v>23</v>
      </c>
      <c r="E5" s="8">
        <v>25</v>
      </c>
      <c r="F5" s="8">
        <v>32</v>
      </c>
      <c r="G5" s="8">
        <v>43</v>
      </c>
    </row>
    <row r="6" spans="1:7" x14ac:dyDescent="0.3">
      <c r="A6" s="5" t="s">
        <v>35</v>
      </c>
      <c r="B6" s="8">
        <v>32</v>
      </c>
      <c r="C6" s="8">
        <v>37</v>
      </c>
      <c r="D6" s="8">
        <v>42</v>
      </c>
      <c r="E6" s="8">
        <v>46</v>
      </c>
      <c r="F6" s="8">
        <v>49</v>
      </c>
      <c r="G6" s="8">
        <v>51</v>
      </c>
    </row>
    <row r="7" spans="1:7" x14ac:dyDescent="0.3">
      <c r="A7" s="5" t="s">
        <v>36</v>
      </c>
      <c r="B7" s="8">
        <v>111</v>
      </c>
      <c r="C7" s="8">
        <v>134</v>
      </c>
      <c r="D7" s="8">
        <v>157</v>
      </c>
      <c r="E7" s="8">
        <v>177</v>
      </c>
      <c r="F7" s="8">
        <v>189</v>
      </c>
      <c r="G7" s="8">
        <v>210</v>
      </c>
    </row>
    <row r="8" spans="1:7" x14ac:dyDescent="0.3">
      <c r="A8" s="5" t="s">
        <v>37</v>
      </c>
      <c r="B8" s="8">
        <v>2</v>
      </c>
      <c r="C8" s="8">
        <v>4</v>
      </c>
      <c r="D8" s="8">
        <v>6</v>
      </c>
      <c r="E8" s="8">
        <v>8</v>
      </c>
      <c r="F8" s="8">
        <v>10</v>
      </c>
      <c r="G8" s="8">
        <v>12</v>
      </c>
    </row>
    <row r="9" spans="1:7" x14ac:dyDescent="0.3">
      <c r="A9" s="5" t="s">
        <v>38</v>
      </c>
      <c r="B9" s="8">
        <v>5</v>
      </c>
      <c r="C9" s="8">
        <v>7</v>
      </c>
      <c r="D9" s="8">
        <v>9</v>
      </c>
      <c r="E9" s="8">
        <v>11</v>
      </c>
      <c r="F9" s="8">
        <v>13</v>
      </c>
      <c r="G9" s="8">
        <v>14</v>
      </c>
    </row>
    <row r="10" spans="1:7" x14ac:dyDescent="0.3">
      <c r="A10" s="5" t="s">
        <v>39</v>
      </c>
      <c r="B10" s="8">
        <v>6</v>
      </c>
      <c r="C10" s="8">
        <v>8</v>
      </c>
      <c r="D10" s="8">
        <v>12</v>
      </c>
      <c r="E10" s="8">
        <v>16</v>
      </c>
      <c r="F10" s="8">
        <v>18</v>
      </c>
      <c r="G10" s="8">
        <v>23</v>
      </c>
    </row>
    <row r="11" spans="1:7" x14ac:dyDescent="0.3">
      <c r="A11" s="5" t="s">
        <v>7</v>
      </c>
      <c r="B11" s="8">
        <f>SUM(B4:B10)</f>
        <v>495</v>
      </c>
      <c r="C11" s="8">
        <f>SUM(C4:C10)</f>
        <v>587</v>
      </c>
      <c r="D11" s="8">
        <f t="shared" ref="D11:G11" si="0">SUM(D4:D10)</f>
        <v>661</v>
      </c>
      <c r="E11" s="8">
        <f t="shared" si="0"/>
        <v>738</v>
      </c>
      <c r="F11" s="8">
        <f t="shared" si="0"/>
        <v>844</v>
      </c>
      <c r="G11" s="8">
        <f t="shared" si="0"/>
        <v>987</v>
      </c>
    </row>
    <row r="38" spans="3:4" x14ac:dyDescent="0.3">
      <c r="C38" s="14" t="s">
        <v>42</v>
      </c>
      <c r="D38" s="14"/>
    </row>
  </sheetData>
  <mergeCells count="2">
    <mergeCell ref="A1:G1"/>
    <mergeCell ref="C38:D38"/>
  </mergeCells>
  <conditionalFormatting sqref="G11">
    <cfRule type="cellIs" dxfId="0" priority="1" operator="greaterThan">
      <formula>500000000</formula>
    </cfRule>
  </conditionalFormatting>
  <hyperlinks>
    <hyperlink ref="A1:G1" location="'Maintenance Schedule'!B3" display="Profit Forecast (Million Euro) 2017 to 2022" xr:uid="{7FF0E7B4-6580-40AB-8F74-37372E372BEF}"/>
  </hyperlinks>
  <pageMargins left="0.7" right="0.7" top="0.75" bottom="0.75" header="0.3" footer="0.3"/>
  <pageSetup paperSize="9" orientation="portrait" r:id="rId1"/>
  <headerFooter>
    <oddHeader>&amp;L&amp;G</oddHeader>
  </headerFooter>
  <ignoredErrors>
    <ignoredError sqref="B11:G11" formulaRange="1"/>
  </ignoredError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Marketing Plan Budget</vt:lpstr>
      <vt:lpstr>Maintenance Schedule</vt:lpstr>
      <vt:lpstr>Profit Forecast</vt:lpstr>
      <vt:lpstr>NewSet</vt:lpstr>
      <vt:lpstr>Plan</vt:lpstr>
      <vt:lpstr>'Marketing Plan Budget'!Print_Titles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DMurphy</dc:creator>
  <cp:lastModifiedBy>raghu prasad konandur</cp:lastModifiedBy>
  <cp:lastPrinted>2020-04-19T11:52:12Z</cp:lastPrinted>
  <dcterms:created xsi:type="dcterms:W3CDTF">2017-12-04T16:01:53Z</dcterms:created>
  <dcterms:modified xsi:type="dcterms:W3CDTF">2026-02-10T06:30:18Z</dcterms:modified>
</cp:coreProperties>
</file>
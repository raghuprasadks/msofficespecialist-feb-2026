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kaushalya\consultancy\surana\2026\excel\workshop\content\practiceexam\project1\"/>
    </mc:Choice>
  </mc:AlternateContent>
  <xr:revisionPtr revIDLastSave="0" documentId="13_ncr:1_{8C98BF61-3D49-4D82-8A86-18452C98023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ribbean Student Numbers" sheetId="1" r:id="rId1"/>
    <sheet name="EquipmentDetailsNew (3)" sheetId="4" r:id="rId2"/>
    <sheet name="EquipmentDetailsold" sheetId="3" r:id="rId3"/>
    <sheet name="Imported Information" sheetId="2" r:id="rId4"/>
  </sheets>
  <definedNames>
    <definedName name="ExternalData_1" localSheetId="2" hidden="1">EquipmentDetailsold!$A$1:$G$9</definedName>
    <definedName name="ExternalData_1" localSheetId="3" hidden="1">'Imported Information'!$A$1:$I$9</definedName>
    <definedName name="ExternalData_2" localSheetId="1" hidden="1">'EquipmentDetailsNew (3)'!$A$1:$I$9</definedName>
    <definedName name="Students">StudentsNew[#All]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3" i="2"/>
  <c r="H4" i="2"/>
  <c r="H5" i="2"/>
  <c r="H6" i="2"/>
  <c r="H7" i="2"/>
  <c r="H8" i="2"/>
  <c r="H9" i="2"/>
  <c r="H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175C-B7B7-46B2-BD5B-2BFF0225B8DB}" keepAlive="1" name="Query - Equipment Details" description="Connection to the 'Equipment Details' query in the workbook." type="5" refreshedVersion="6" background="1" saveData="1">
    <dbPr connection="Provider=Microsoft.Mashup.OleDb.1;Data Source=$Workbook$;Location=Equipment Details;Extended Properties=&quot;&quot;" command="SELECT * FROM [Equipment Details]"/>
  </connection>
  <connection id="2" xr16:uid="{FD645B62-8727-4045-A4FA-8AD912E5EE2C}" keepAlive="1" name="Query - EquipmentDetailsNew" description="Connection to the 'EquipmentDetailsNew' query in the workbook." type="5" refreshedVersion="8" background="1" saveData="1">
    <dbPr connection="Provider=Microsoft.Mashup.OleDb.1;Data Source=$Workbook$;Location=EquipmentDetailsNew;Extended Properties=&quot;&quot;" command="SELECT * FROM [EquipmentDetailsNew]"/>
  </connection>
  <connection id="3" xr16:uid="{0F95AA52-D05B-4DBE-A758-E68285952B7B}" keepAlive="1" name="Query - EquipmentDetailsNew (2)" description="Connection to the 'EquipmentDetailsNew (2)' query in the workbook." type="5" refreshedVersion="8" background="1" saveData="1">
    <dbPr connection="Provider=Microsoft.Mashup.OleDb.1;Data Source=$Workbook$;Location=&quot;EquipmentDetailsNew (2)&quot;;Extended Properties=&quot;&quot;" command="SELECT * FROM [EquipmentDetailsNew (2)]"/>
  </connection>
  <connection id="4" xr16:uid="{E2DE2D80-2D76-420A-AF8C-9CBA7629EB0C}" keepAlive="1" name="Query - EquipmentDetailsNew (3)" description="Connection to the 'EquipmentDetailsNew (3)' query in the workbook." type="5" refreshedVersion="8" background="1" saveData="1">
    <dbPr connection="Provider=Microsoft.Mashup.OleDb.1;Data Source=$Workbook$;Location=&quot;EquipmentDetailsNew (3)&quot;;Extended Properties=&quot;&quot;" command="SELECT * FROM [EquipmentDetailsNew (3)]"/>
  </connection>
</connections>
</file>

<file path=xl/sharedStrings.xml><?xml version="1.0" encoding="utf-8"?>
<sst xmlns="http://schemas.openxmlformats.org/spreadsheetml/2006/main" count="65" uniqueCount="18">
  <si>
    <t>Antigua</t>
  </si>
  <si>
    <t>Bahamas</t>
  </si>
  <si>
    <t>Barbados</t>
  </si>
  <si>
    <t>Bermuda</t>
  </si>
  <si>
    <t>Cancun, Mexico</t>
  </si>
  <si>
    <t>Costa Rica</t>
  </si>
  <si>
    <t>Dominican Republic</t>
  </si>
  <si>
    <t>Jamaica</t>
  </si>
  <si>
    <t>MOS University Caribbean Courses Student Numbers</t>
  </si>
  <si>
    <t>2019</t>
  </si>
  <si>
    <t>2020</t>
  </si>
  <si>
    <t>2021</t>
  </si>
  <si>
    <t>2022</t>
  </si>
  <si>
    <t>2023</t>
  </si>
  <si>
    <t>2024</t>
  </si>
  <si>
    <t>Country</t>
  </si>
  <si>
    <t>Sparkline</t>
  </si>
  <si>
    <t>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</si>
</sst>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15</xdr:row>
      <xdr:rowOff>9525</xdr:rowOff>
    </xdr:from>
    <xdr:to>
      <xdr:col>1</xdr:col>
      <xdr:colOff>110990</xdr:colOff>
      <xdr:row>17</xdr:row>
      <xdr:rowOff>146730</xdr:rowOff>
    </xdr:to>
    <xdr:pic macro="[0]!All_Questions.All_Questions">
      <xdr:nvPicPr>
        <xdr:cNvPr id="4" name="Picture 3">
          <a:extLst>
            <a:ext uri="{FF2B5EF4-FFF2-40B4-BE49-F238E27FC236}">
              <a16:creationId xmlns:a16="http://schemas.microsoft.com/office/drawing/2014/main" id="{86247F80-3CB6-4B4F-9EC8-FD0506C44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670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14</xdr:row>
      <xdr:rowOff>152401</xdr:rowOff>
    </xdr:from>
    <xdr:to>
      <xdr:col>13</xdr:col>
      <xdr:colOff>38100</xdr:colOff>
      <xdr:row>32</xdr:row>
      <xdr:rowOff>112526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AA373E1-E0C9-42AE-A614-F6C983F03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2819401"/>
          <a:ext cx="6677025" cy="3389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9525</xdr:rowOff>
    </xdr:from>
    <xdr:to>
      <xdr:col>2</xdr:col>
      <xdr:colOff>158615</xdr:colOff>
      <xdr:row>17</xdr:row>
      <xdr:rowOff>146730</xdr:rowOff>
    </xdr:to>
    <xdr:pic macro="[0]!All_Questions.All_Questions">
      <xdr:nvPicPr>
        <xdr:cNvPr id="2" name="Picture 1">
          <a:extLst>
            <a:ext uri="{FF2B5EF4-FFF2-40B4-BE49-F238E27FC236}">
              <a16:creationId xmlns:a16="http://schemas.microsoft.com/office/drawing/2014/main" id="{AEBDEFA6-5273-4A63-A529-D670794D1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670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14</xdr:row>
      <xdr:rowOff>171452</xdr:rowOff>
    </xdr:from>
    <xdr:to>
      <xdr:col>13</xdr:col>
      <xdr:colOff>390524</xdr:colOff>
      <xdr:row>31</xdr:row>
      <xdr:rowOff>167366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369E337D-43C8-4EDE-A7AD-083AD95B2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2838452"/>
          <a:ext cx="6372224" cy="323441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C4780201-A5DD-49CE-88D9-2AF34C88D4B7}" autoFormatId="16" applyNumberFormats="0" applyBorderFormats="0" applyFontFormats="0" applyPatternFormats="0" applyAlignmentFormats="0" applyWidthHeightFormats="0">
  <queryTableRefresh nextId="10">
    <queryTableFields count="9">
      <queryTableField id="1" name="Country" tableColumnId="1"/>
      <queryTableField id="2" name="2019" tableColumnId="2"/>
      <queryTableField id="3" name="2020" tableColumnId="3"/>
      <queryTableField id="4" name="2021" tableColumnId="4"/>
      <queryTableField id="5" name="2022" tableColumnId="5"/>
      <queryTableField id="6" name="2023" tableColumnId="6"/>
      <queryTableField id="8" dataBound="0" tableColumnId="15"/>
      <queryTableField id="9" dataBound="0" tableColumnId="16"/>
      <queryTableField id="7" name="2024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20F912C-7ED2-45EE-8761-9EC7E13C2890}" autoFormatId="16" applyNumberFormats="0" applyBorderFormats="0" applyFontFormats="0" applyPatternFormats="0" applyAlignmentFormats="0" applyWidthHeightFormats="0">
  <queryTableRefresh nextId="8">
    <queryTableFields count="7">
      <queryTableField id="1" name="Country" tableColumnId="1"/>
      <queryTableField id="2" name="2019" tableColumnId="2"/>
      <queryTableField id="3" name="2020" tableColumnId="3"/>
      <queryTableField id="4" name="2021" tableColumnId="4"/>
      <queryTableField id="5" name="2022" tableColumnId="5"/>
      <queryTableField id="6" name="2023" tableColumnId="6"/>
      <queryTableField id="7" name="2024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177218-87A5-42B4-BD18-7E5367257914}" autoFormatId="16" applyNumberFormats="0" applyBorderFormats="0" applyFontFormats="0" applyPatternFormats="0" applyAlignmentFormats="0" applyWidthHeightFormats="0">
  <queryTableRefresh nextId="10">
    <queryTableFields count="9">
      <queryTableField id="1" name="Country" tableColumnId="1"/>
      <queryTableField id="2" name="2019" tableColumnId="2"/>
      <queryTableField id="3" name="2020" tableColumnId="3"/>
      <queryTableField id="4" name="2021" tableColumnId="4"/>
      <queryTableField id="5" name="2022" tableColumnId="5"/>
      <queryTableField id="6" name="2023" tableColumnId="6"/>
      <queryTableField id="9" dataBound="0" tableColumnId="9"/>
      <queryTableField id="8" dataBound="0" tableColumnId="8"/>
      <queryTableField id="7" name="2024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01907B-C01C-4C69-9FAA-883F8982D02A}" name="StudentsNew" displayName="StudentsNew" ref="A1:I9" tableType="queryTable" totalsRowShown="0">
  <autoFilter ref="A1:I9" xr:uid="{DF01907B-C01C-4C69-9FAA-883F8982D02A}"/>
  <tableColumns count="9">
    <tableColumn id="1" xr3:uid="{99ABC06A-0B77-4E03-BE9D-F15B72D09B90}" uniqueName="1" name="Country" queryTableFieldId="1" dataDxfId="1"/>
    <tableColumn id="2" xr3:uid="{0E184223-DA64-4DC1-9CED-0672BD035046}" uniqueName="2" name="2019" queryTableFieldId="2"/>
    <tableColumn id="3" xr3:uid="{64C64F24-952A-4818-91A9-5E869E76A55D}" uniqueName="3" name="2020" queryTableFieldId="3"/>
    <tableColumn id="4" xr3:uid="{0106F184-4AED-4574-9B5A-F96E79304F60}" uniqueName="4" name="2021" queryTableFieldId="4"/>
    <tableColumn id="5" xr3:uid="{4642AA90-8340-4A62-AA84-6178F3548F78}" uniqueName="5" name="2022" queryTableFieldId="5"/>
    <tableColumn id="6" xr3:uid="{1E23A417-D906-442E-8106-65DAAC2FDA64}" uniqueName="6" name="2023" queryTableFieldId="6"/>
    <tableColumn id="15" xr3:uid="{5D7DABA4-6E81-4D3E-B71A-FE6C4774E0B0}" uniqueName="15" name="2024" queryTableFieldId="8"/>
    <tableColumn id="16" xr3:uid="{1D046CD8-65E6-471F-9487-6C306CB4C643}" uniqueName="16" name="Performance" queryTableFieldId="9" dataDxfId="0">
      <calculatedColumnFormula>IF(SUM(StudentsNew[[#This Row],[2019]:[2024]])&gt;2000,"Excellent","")</calculatedColumnFormula>
    </tableColumn>
    <tableColumn id="7" xr3:uid="{144C4E3E-F7C0-4E66-9CE1-F57AD0E40681}" uniqueName="7" name="Sparkline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91DA6D-F2FA-4D9A-800D-6CCC41A08E22}" name="EquipmentDetailsNew" displayName="EquipmentDetailsNew" ref="A1:G9" tableType="queryTable" totalsRowShown="0">
  <autoFilter ref="A1:G9" xr:uid="{8491DA6D-F2FA-4D9A-800D-6CCC41A08E22}"/>
  <tableColumns count="7">
    <tableColumn id="1" xr3:uid="{FADDB308-B02B-4A88-823A-61DE82B72472}" uniqueName="1" name="Country" queryTableFieldId="1" dataDxfId="2"/>
    <tableColumn id="2" xr3:uid="{C6346FAF-9FA2-475A-848C-FD2F51C1B313}" uniqueName="2" name="2019" queryTableFieldId="2"/>
    <tableColumn id="3" xr3:uid="{3EFEC937-0C8A-4E2F-9187-9466B80DE821}" uniqueName="3" name="2020" queryTableFieldId="3"/>
    <tableColumn id="4" xr3:uid="{62B52BCF-FC02-4C6D-A4D5-C7526D37A8F0}" uniqueName="4" name="2021" queryTableFieldId="4"/>
    <tableColumn id="5" xr3:uid="{4B6B596B-3C0D-448E-BE22-DE07F72AD3AF}" uniqueName="5" name="2022" queryTableFieldId="5"/>
    <tableColumn id="6" xr3:uid="{446720AF-0ACA-40AC-AEAE-939E072BCA51}" uniqueName="6" name="2023" queryTableFieldId="6"/>
    <tableColumn id="7" xr3:uid="{19B9AD21-6171-47B2-B4DB-7912900AD710}" uniqueName="7" name="2024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1FDA85-526B-4DD6-97DE-B7F00CCFC937}" name="EquipmentDetailsNew3" displayName="EquipmentDetailsNew3" ref="A1:I9" tableType="queryTable" totalsRowShown="0">
  <autoFilter ref="A1:I9" xr:uid="{E71FDA85-526B-4DD6-97DE-B7F00CCFC937}"/>
  <tableColumns count="9">
    <tableColumn id="1" xr3:uid="{C24A4FB5-FC0C-4DCC-87FF-3CFEB6C1CB86}" uniqueName="1" name="Country" queryTableFieldId="1" dataDxfId="3"/>
    <tableColumn id="2" xr3:uid="{7BE41C80-055B-475F-B61C-2AF9BC835B20}" uniqueName="2" name="2019" queryTableFieldId="2"/>
    <tableColumn id="3" xr3:uid="{FE2F9D1E-225E-4738-8FCA-F65A71DCC5FD}" uniqueName="3" name="2020" queryTableFieldId="3"/>
    <tableColumn id="4" xr3:uid="{1631B1BD-BDD7-4B0B-91BC-65AF20A14B16}" uniqueName="4" name="2021" queryTableFieldId="4"/>
    <tableColumn id="5" xr3:uid="{842841ED-1C83-4709-9374-F2813E72F386}" uniqueName="5" name="2022" queryTableFieldId="5"/>
    <tableColumn id="6" xr3:uid="{8E2801CB-F0EC-4364-B548-A67F6976F42A}" uniqueName="6" name="2023" queryTableFieldId="6"/>
    <tableColumn id="9" xr3:uid="{DADBA302-6A59-4B09-8E84-6CF9E423D927}" uniqueName="9" name="2024" queryTableFieldId="9"/>
    <tableColumn id="8" xr3:uid="{EB3F2A6C-9010-47ED-A88F-7FB076897CFC}" uniqueName="8" name="Performance" queryTableFieldId="8">
      <calculatedColumnFormula>IF(SUM(EquipmentDetailsNew3[[#This Row],[2019]:[2024]])&gt;2000,"Excellent","")</calculatedColumnFormula>
    </tableColumn>
    <tableColumn id="7" xr3:uid="{DC8D7AC1-FF3A-468D-AF3E-600EBF3E9E7A}" uniqueName="7" name="Sparkline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opLeftCell="C23" zoomScale="227" zoomScaleNormal="227" workbookViewId="0">
      <selection activeCell="A3" sqref="A3"/>
    </sheetView>
  </sheetViews>
  <sheetFormatPr defaultRowHeight="14.4" x14ac:dyDescent="0.3"/>
  <cols>
    <col min="1" max="1" width="19.6640625" customWidth="1"/>
  </cols>
  <sheetData>
    <row r="1" spans="1:7" x14ac:dyDescent="0.3">
      <c r="A1" s="2" t="s">
        <v>8</v>
      </c>
    </row>
    <row r="4" spans="1:7" x14ac:dyDescent="0.3">
      <c r="A4" t="s">
        <v>15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</row>
    <row r="5" spans="1:7" x14ac:dyDescent="0.3">
      <c r="A5" t="s">
        <v>0</v>
      </c>
      <c r="B5">
        <v>211</v>
      </c>
      <c r="C5">
        <v>244</v>
      </c>
      <c r="D5">
        <v>265</v>
      </c>
      <c r="E5">
        <v>287</v>
      </c>
      <c r="F5">
        <v>302</v>
      </c>
      <c r="G5">
        <v>333</v>
      </c>
    </row>
    <row r="6" spans="1:7" x14ac:dyDescent="0.3">
      <c r="A6" t="s">
        <v>1</v>
      </c>
      <c r="B6">
        <v>189</v>
      </c>
      <c r="C6">
        <v>201</v>
      </c>
      <c r="D6">
        <v>233</v>
      </c>
      <c r="E6">
        <v>355</v>
      </c>
      <c r="F6">
        <v>247</v>
      </c>
      <c r="G6">
        <v>277</v>
      </c>
    </row>
    <row r="7" spans="1:7" x14ac:dyDescent="0.3">
      <c r="A7" t="s">
        <v>2</v>
      </c>
      <c r="B7">
        <v>143</v>
      </c>
      <c r="C7">
        <v>156</v>
      </c>
      <c r="D7">
        <v>176</v>
      </c>
      <c r="E7">
        <v>199</v>
      </c>
      <c r="F7">
        <v>234</v>
      </c>
      <c r="G7">
        <v>266</v>
      </c>
    </row>
    <row r="8" spans="1:7" x14ac:dyDescent="0.3">
      <c r="A8" t="s">
        <v>3</v>
      </c>
      <c r="B8">
        <v>98</v>
      </c>
      <c r="C8">
        <v>123</v>
      </c>
      <c r="D8">
        <v>143</v>
      </c>
      <c r="E8">
        <v>156</v>
      </c>
      <c r="F8">
        <v>179</v>
      </c>
      <c r="G8">
        <v>199</v>
      </c>
    </row>
    <row r="9" spans="1:7" x14ac:dyDescent="0.3">
      <c r="A9" t="s">
        <v>4</v>
      </c>
      <c r="B9">
        <v>199</v>
      </c>
      <c r="C9">
        <v>267</v>
      </c>
      <c r="D9">
        <v>255</v>
      </c>
      <c r="E9">
        <v>276</v>
      </c>
      <c r="F9">
        <v>276</v>
      </c>
      <c r="G9">
        <v>299</v>
      </c>
    </row>
    <row r="10" spans="1:7" x14ac:dyDescent="0.3">
      <c r="A10" t="s">
        <v>5</v>
      </c>
      <c r="B10">
        <v>267</v>
      </c>
      <c r="C10">
        <v>321</v>
      </c>
      <c r="D10">
        <v>354</v>
      </c>
      <c r="E10">
        <v>365</v>
      </c>
      <c r="F10">
        <v>387</v>
      </c>
      <c r="G10">
        <v>402</v>
      </c>
    </row>
    <row r="11" spans="1:7" x14ac:dyDescent="0.3">
      <c r="A11" t="s">
        <v>6</v>
      </c>
      <c r="B11">
        <v>431</v>
      </c>
      <c r="C11">
        <v>455</v>
      </c>
      <c r="D11">
        <v>469</v>
      </c>
      <c r="E11">
        <v>498</v>
      </c>
      <c r="F11">
        <v>544</v>
      </c>
      <c r="G11">
        <v>588</v>
      </c>
    </row>
    <row r="12" spans="1:7" x14ac:dyDescent="0.3">
      <c r="A12" t="s">
        <v>7</v>
      </c>
      <c r="B12">
        <v>652</v>
      </c>
      <c r="C12">
        <v>687</v>
      </c>
      <c r="D12">
        <v>765</v>
      </c>
      <c r="E12">
        <v>799</v>
      </c>
      <c r="F12">
        <v>844</v>
      </c>
      <c r="G12">
        <v>867</v>
      </c>
    </row>
    <row r="13" spans="1:7" x14ac:dyDescent="0.3">
      <c r="B13" s="1"/>
      <c r="C13" s="1"/>
      <c r="D13" s="1"/>
      <c r="E13" s="1"/>
      <c r="F13" s="1"/>
      <c r="G13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39291-E020-41AB-A273-94BE17353124}">
  <dimension ref="A1:I9"/>
  <sheetViews>
    <sheetView tabSelected="1" workbookViewId="0"/>
  </sheetViews>
  <sheetFormatPr defaultRowHeight="14.4" x14ac:dyDescent="0.3"/>
  <cols>
    <col min="1" max="1" width="17.21875" bestFit="1" customWidth="1"/>
    <col min="2" max="6" width="7.21875" bestFit="1" customWidth="1"/>
    <col min="7" max="7" width="7.21875" customWidth="1"/>
    <col min="8" max="8" width="14.109375" bestFit="1" customWidth="1"/>
    <col min="9" max="9" width="11" bestFit="1" customWidth="1"/>
  </cols>
  <sheetData>
    <row r="1" spans="1:9" x14ac:dyDescent="0.3">
      <c r="A1" t="s">
        <v>15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17</v>
      </c>
      <c r="I1" t="s">
        <v>16</v>
      </c>
    </row>
    <row r="2" spans="1:9" x14ac:dyDescent="0.3">
      <c r="A2" s="3" t="s">
        <v>0</v>
      </c>
      <c r="B2">
        <v>211</v>
      </c>
      <c r="C2">
        <v>244</v>
      </c>
      <c r="D2">
        <v>265</v>
      </c>
      <c r="E2">
        <v>287</v>
      </c>
      <c r="F2">
        <v>302</v>
      </c>
      <c r="G2">
        <v>333</v>
      </c>
      <c r="H2" t="str">
        <f>IF(SUM(StudentsNew[[#This Row],[2019]:[2024]])&gt;2000,"Excellent","")</f>
        <v/>
      </c>
    </row>
    <row r="3" spans="1:9" x14ac:dyDescent="0.3">
      <c r="A3" s="3" t="s">
        <v>1</v>
      </c>
      <c r="B3">
        <v>189</v>
      </c>
      <c r="C3">
        <v>201</v>
      </c>
      <c r="D3">
        <v>233</v>
      </c>
      <c r="E3">
        <v>355</v>
      </c>
      <c r="F3">
        <v>247</v>
      </c>
      <c r="G3">
        <v>277</v>
      </c>
      <c r="H3" t="str">
        <f>IF(SUM(StudentsNew[[#This Row],[2019]:[2024]])&gt;2000,"Excellent","")</f>
        <v/>
      </c>
    </row>
    <row r="4" spans="1:9" x14ac:dyDescent="0.3">
      <c r="A4" s="3" t="s">
        <v>2</v>
      </c>
      <c r="B4">
        <v>143</v>
      </c>
      <c r="C4">
        <v>156</v>
      </c>
      <c r="D4">
        <v>176</v>
      </c>
      <c r="E4">
        <v>199</v>
      </c>
      <c r="F4">
        <v>234</v>
      </c>
      <c r="G4">
        <v>266</v>
      </c>
      <c r="H4" t="str">
        <f>IF(SUM(StudentsNew[[#This Row],[2019]:[2024]])&gt;2000,"Excellent","")</f>
        <v/>
      </c>
    </row>
    <row r="5" spans="1:9" x14ac:dyDescent="0.3">
      <c r="A5" s="3" t="s">
        <v>3</v>
      </c>
      <c r="B5">
        <v>98</v>
      </c>
      <c r="C5">
        <v>123</v>
      </c>
      <c r="D5">
        <v>143</v>
      </c>
      <c r="E5">
        <v>156</v>
      </c>
      <c r="F5">
        <v>179</v>
      </c>
      <c r="G5">
        <v>199</v>
      </c>
      <c r="H5" t="str">
        <f>IF(SUM(StudentsNew[[#This Row],[2019]:[2024]])&gt;2000,"Excellent","")</f>
        <v/>
      </c>
    </row>
    <row r="6" spans="1:9" x14ac:dyDescent="0.3">
      <c r="A6" s="3" t="s">
        <v>4</v>
      </c>
      <c r="B6">
        <v>199</v>
      </c>
      <c r="C6">
        <v>267</v>
      </c>
      <c r="D6">
        <v>255</v>
      </c>
      <c r="E6">
        <v>276</v>
      </c>
      <c r="F6">
        <v>276</v>
      </c>
      <c r="G6">
        <v>299</v>
      </c>
      <c r="H6" t="str">
        <f>IF(SUM(StudentsNew[[#This Row],[2019]:[2024]])&gt;2000,"Excellent","")</f>
        <v/>
      </c>
    </row>
    <row r="7" spans="1:9" x14ac:dyDescent="0.3">
      <c r="A7" s="3" t="s">
        <v>5</v>
      </c>
      <c r="B7">
        <v>267</v>
      </c>
      <c r="C7">
        <v>321</v>
      </c>
      <c r="D7">
        <v>354</v>
      </c>
      <c r="E7">
        <v>365</v>
      </c>
      <c r="F7">
        <v>387</v>
      </c>
      <c r="G7">
        <v>402</v>
      </c>
      <c r="H7" t="str">
        <f>IF(SUM(StudentsNew[[#This Row],[2019]:[2024]])&gt;2000,"Excellent","")</f>
        <v>Excellent</v>
      </c>
    </row>
    <row r="8" spans="1:9" x14ac:dyDescent="0.3">
      <c r="A8" s="3" t="s">
        <v>6</v>
      </c>
      <c r="B8">
        <v>431</v>
      </c>
      <c r="C8">
        <v>455</v>
      </c>
      <c r="D8">
        <v>469</v>
      </c>
      <c r="E8">
        <v>498</v>
      </c>
      <c r="F8">
        <v>544</v>
      </c>
      <c r="G8">
        <v>588</v>
      </c>
      <c r="H8" t="str">
        <f>IF(SUM(StudentsNew[[#This Row],[2019]:[2024]])&gt;2000,"Excellent","")</f>
        <v>Excellent</v>
      </c>
    </row>
    <row r="9" spans="1:9" x14ac:dyDescent="0.3">
      <c r="A9" s="3" t="s">
        <v>7</v>
      </c>
      <c r="B9">
        <v>652</v>
      </c>
      <c r="C9">
        <v>687</v>
      </c>
      <c r="D9">
        <v>765</v>
      </c>
      <c r="E9">
        <v>799</v>
      </c>
      <c r="F9">
        <v>844</v>
      </c>
      <c r="G9">
        <v>867</v>
      </c>
      <c r="H9" t="str">
        <f>IF(SUM(StudentsNew[[#This Row],[2019]:[2024]])&gt;2000,"Excellent","")</f>
        <v>Excellent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157B5DD8-1BF1-4531-8AA6-D41468EE9F1B}">
          <x14:colorSeries theme="9" tint="0.39997558519241921"/>
          <x14:colorNegative theme="0" tint="-0.499984740745262"/>
          <x14:colorAxis rgb="FF000000"/>
          <x14:colorMarkers theme="9" tint="0.79998168889431442"/>
          <x14:colorFirst theme="9" tint="-0.249977111117893"/>
          <x14:colorLast theme="9" tint="-0.249977111117893"/>
          <x14:colorHigh theme="9" tint="-0.499984740745262"/>
          <x14:colorLow theme="9" tint="-0.499984740745262"/>
          <x14:sparklines>
            <x14:sparkline>
              <xm:f>'EquipmentDetailsNew (3)'!B2:G2</xm:f>
              <xm:sqref>I2</xm:sqref>
            </x14:sparkline>
            <x14:sparkline>
              <xm:f>'EquipmentDetailsNew (3)'!B3:G3</xm:f>
              <xm:sqref>I3</xm:sqref>
            </x14:sparkline>
            <x14:sparkline>
              <xm:f>'EquipmentDetailsNew (3)'!B4:G4</xm:f>
              <xm:sqref>I4</xm:sqref>
            </x14:sparkline>
            <x14:sparkline>
              <xm:f>'EquipmentDetailsNew (3)'!B5:G5</xm:f>
              <xm:sqref>I5</xm:sqref>
            </x14:sparkline>
            <x14:sparkline>
              <xm:f>'EquipmentDetailsNew (3)'!B6:G6</xm:f>
              <xm:sqref>I6</xm:sqref>
            </x14:sparkline>
            <x14:sparkline>
              <xm:f>'EquipmentDetailsNew (3)'!B7:G7</xm:f>
              <xm:sqref>I7</xm:sqref>
            </x14:sparkline>
            <x14:sparkline>
              <xm:f>'EquipmentDetailsNew (3)'!B8:G8</xm:f>
              <xm:sqref>I8</xm:sqref>
            </x14:sparkline>
            <x14:sparkline>
              <xm:f>'EquipmentDetailsNew (3)'!B9:G9</xm:f>
              <xm:sqref>I9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22B3-1F66-44C9-ADB0-6D1F6BFA4023}">
  <dimension ref="A1:G9"/>
  <sheetViews>
    <sheetView workbookViewId="0">
      <selection activeCell="I22" sqref="I22"/>
    </sheetView>
  </sheetViews>
  <sheetFormatPr defaultRowHeight="14.4" x14ac:dyDescent="0.3"/>
  <cols>
    <col min="1" max="1" width="17.21875" bestFit="1" customWidth="1"/>
    <col min="2" max="7" width="7.21875" bestFit="1" customWidth="1"/>
  </cols>
  <sheetData>
    <row r="1" spans="1:7" x14ac:dyDescent="0.3">
      <c r="A1" t="s">
        <v>15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</row>
    <row r="2" spans="1:7" x14ac:dyDescent="0.3">
      <c r="A2" t="s">
        <v>0</v>
      </c>
      <c r="B2">
        <v>211</v>
      </c>
      <c r="C2">
        <v>244</v>
      </c>
      <c r="D2">
        <v>265</v>
      </c>
      <c r="E2">
        <v>287</v>
      </c>
      <c r="F2">
        <v>302</v>
      </c>
      <c r="G2">
        <v>333</v>
      </c>
    </row>
    <row r="3" spans="1:7" x14ac:dyDescent="0.3">
      <c r="A3" t="s">
        <v>1</v>
      </c>
      <c r="B3">
        <v>189</v>
      </c>
      <c r="C3">
        <v>201</v>
      </c>
      <c r="D3">
        <v>233</v>
      </c>
      <c r="E3">
        <v>355</v>
      </c>
      <c r="F3">
        <v>247</v>
      </c>
      <c r="G3">
        <v>277</v>
      </c>
    </row>
    <row r="4" spans="1:7" x14ac:dyDescent="0.3">
      <c r="A4" t="s">
        <v>2</v>
      </c>
      <c r="B4">
        <v>143</v>
      </c>
      <c r="C4">
        <v>156</v>
      </c>
      <c r="D4">
        <v>176</v>
      </c>
      <c r="E4">
        <v>199</v>
      </c>
      <c r="F4">
        <v>234</v>
      </c>
      <c r="G4">
        <v>266</v>
      </c>
    </row>
    <row r="5" spans="1:7" x14ac:dyDescent="0.3">
      <c r="A5" t="s">
        <v>3</v>
      </c>
      <c r="B5">
        <v>98</v>
      </c>
      <c r="C5">
        <v>123</v>
      </c>
      <c r="D5">
        <v>143</v>
      </c>
      <c r="E5">
        <v>156</v>
      </c>
      <c r="F5">
        <v>179</v>
      </c>
      <c r="G5">
        <v>199</v>
      </c>
    </row>
    <row r="6" spans="1:7" x14ac:dyDescent="0.3">
      <c r="A6" t="s">
        <v>4</v>
      </c>
      <c r="B6">
        <v>199</v>
      </c>
      <c r="C6">
        <v>267</v>
      </c>
      <c r="D6">
        <v>255</v>
      </c>
      <c r="E6">
        <v>276</v>
      </c>
      <c r="F6">
        <v>276</v>
      </c>
      <c r="G6">
        <v>299</v>
      </c>
    </row>
    <row r="7" spans="1:7" x14ac:dyDescent="0.3">
      <c r="A7" t="s">
        <v>5</v>
      </c>
      <c r="B7">
        <v>267</v>
      </c>
      <c r="C7">
        <v>321</v>
      </c>
      <c r="D7">
        <v>354</v>
      </c>
      <c r="E7">
        <v>365</v>
      </c>
      <c r="F7">
        <v>387</v>
      </c>
      <c r="G7">
        <v>402</v>
      </c>
    </row>
    <row r="8" spans="1:7" x14ac:dyDescent="0.3">
      <c r="A8" t="s">
        <v>6</v>
      </c>
      <c r="B8">
        <v>431</v>
      </c>
      <c r="C8">
        <v>455</v>
      </c>
      <c r="D8">
        <v>469</v>
      </c>
      <c r="E8">
        <v>498</v>
      </c>
      <c r="F8">
        <v>544</v>
      </c>
      <c r="G8">
        <v>588</v>
      </c>
    </row>
    <row r="9" spans="1:7" x14ac:dyDescent="0.3">
      <c r="A9" t="s">
        <v>7</v>
      </c>
      <c r="B9">
        <v>652</v>
      </c>
      <c r="C9">
        <v>687</v>
      </c>
      <c r="D9">
        <v>765</v>
      </c>
      <c r="E9">
        <v>799</v>
      </c>
      <c r="F9">
        <v>844</v>
      </c>
      <c r="G9">
        <v>867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A4B8C-98C0-4B6F-A6E6-D17BA9256859}">
  <sheetPr codeName="Sheet2"/>
  <dimension ref="A1:I9"/>
  <sheetViews>
    <sheetView zoomScale="222" zoomScaleNormal="222" workbookViewId="0">
      <selection activeCell="C9" sqref="C9"/>
    </sheetView>
  </sheetViews>
  <sheetFormatPr defaultRowHeight="14.4" x14ac:dyDescent="0.3"/>
  <sheetData>
    <row r="1" spans="1:9" x14ac:dyDescent="0.3">
      <c r="A1" t="s">
        <v>15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17</v>
      </c>
      <c r="I1" t="s">
        <v>16</v>
      </c>
    </row>
    <row r="2" spans="1:9" x14ac:dyDescent="0.3">
      <c r="A2" t="s">
        <v>0</v>
      </c>
      <c r="B2">
        <v>211</v>
      </c>
      <c r="C2">
        <v>244</v>
      </c>
      <c r="D2">
        <v>265</v>
      </c>
      <c r="E2">
        <v>287</v>
      </c>
      <c r="F2">
        <v>302</v>
      </c>
      <c r="G2">
        <v>333</v>
      </c>
      <c r="H2" t="str">
        <f>IF(SUM(EquipmentDetailsNew3[[#This Row],[2019]:[2024]])&gt;2000,"Excellent","")</f>
        <v/>
      </c>
    </row>
    <row r="3" spans="1:9" x14ac:dyDescent="0.3">
      <c r="A3" t="s">
        <v>1</v>
      </c>
      <c r="B3">
        <v>189</v>
      </c>
      <c r="C3">
        <v>201</v>
      </c>
      <c r="D3">
        <v>233</v>
      </c>
      <c r="E3">
        <v>355</v>
      </c>
      <c r="F3">
        <v>247</v>
      </c>
      <c r="G3">
        <v>277</v>
      </c>
      <c r="H3" t="str">
        <f>IF(SUM(EquipmentDetailsNew3[[#This Row],[2019]:[2024]])&gt;2000,"Excellent","")</f>
        <v/>
      </c>
    </row>
    <row r="4" spans="1:9" x14ac:dyDescent="0.3">
      <c r="A4" t="s">
        <v>2</v>
      </c>
      <c r="B4">
        <v>143</v>
      </c>
      <c r="C4">
        <v>156</v>
      </c>
      <c r="D4">
        <v>176</v>
      </c>
      <c r="E4">
        <v>199</v>
      </c>
      <c r="F4">
        <v>234</v>
      </c>
      <c r="G4">
        <v>266</v>
      </c>
      <c r="H4" t="str">
        <f>IF(SUM(EquipmentDetailsNew3[[#This Row],[2019]:[2024]])&gt;2000,"Excellent","")</f>
        <v/>
      </c>
    </row>
    <row r="5" spans="1:9" x14ac:dyDescent="0.3">
      <c r="A5" t="s">
        <v>3</v>
      </c>
      <c r="B5">
        <v>98</v>
      </c>
      <c r="C5">
        <v>123</v>
      </c>
      <c r="D5">
        <v>143</v>
      </c>
      <c r="E5">
        <v>156</v>
      </c>
      <c r="F5">
        <v>179</v>
      </c>
      <c r="G5">
        <v>199</v>
      </c>
      <c r="H5" t="str">
        <f>IF(SUM(EquipmentDetailsNew3[[#This Row],[2019]:[2024]])&gt;2000,"Excellent","")</f>
        <v/>
      </c>
    </row>
    <row r="6" spans="1:9" x14ac:dyDescent="0.3">
      <c r="A6" t="s">
        <v>4</v>
      </c>
      <c r="B6">
        <v>199</v>
      </c>
      <c r="C6">
        <v>267</v>
      </c>
      <c r="D6">
        <v>255</v>
      </c>
      <c r="E6">
        <v>276</v>
      </c>
      <c r="F6">
        <v>276</v>
      </c>
      <c r="G6">
        <v>299</v>
      </c>
      <c r="H6" t="str">
        <f>IF(SUM(EquipmentDetailsNew3[[#This Row],[2019]:[2024]])&gt;2000,"Excellent","")</f>
        <v/>
      </c>
    </row>
    <row r="7" spans="1:9" x14ac:dyDescent="0.3">
      <c r="A7" t="s">
        <v>5</v>
      </c>
      <c r="B7">
        <v>267</v>
      </c>
      <c r="C7">
        <v>321</v>
      </c>
      <c r="D7">
        <v>354</v>
      </c>
      <c r="E7">
        <v>365</v>
      </c>
      <c r="F7">
        <v>387</v>
      </c>
      <c r="G7">
        <v>402</v>
      </c>
      <c r="H7" t="str">
        <f>IF(SUM(EquipmentDetailsNew3[[#This Row],[2019]:[2024]])&gt;2000,"Excellent","")</f>
        <v>Excellent</v>
      </c>
    </row>
    <row r="8" spans="1:9" x14ac:dyDescent="0.3">
      <c r="A8" t="s">
        <v>6</v>
      </c>
      <c r="B8">
        <v>431</v>
      </c>
      <c r="C8">
        <v>455</v>
      </c>
      <c r="D8">
        <v>469</v>
      </c>
      <c r="E8">
        <v>498</v>
      </c>
      <c r="F8">
        <v>544</v>
      </c>
      <c r="G8">
        <v>588</v>
      </c>
      <c r="H8" t="str">
        <f>IF(SUM(EquipmentDetailsNew3[[#This Row],[2019]:[2024]])&gt;2000,"Excellent","")</f>
        <v>Excellent</v>
      </c>
    </row>
    <row r="9" spans="1:9" x14ac:dyDescent="0.3">
      <c r="A9" t="s">
        <v>7</v>
      </c>
      <c r="B9">
        <v>652</v>
      </c>
      <c r="C9">
        <v>687</v>
      </c>
      <c r="D9">
        <v>765</v>
      </c>
      <c r="E9">
        <v>799</v>
      </c>
      <c r="F9">
        <v>844</v>
      </c>
      <c r="G9">
        <v>867</v>
      </c>
      <c r="H9" t="str">
        <f>IF(SUM(EquipmentDetailsNew3[[#This Row],[2019]:[2024]])&gt;2000,"Excellent","")</f>
        <v>Excellent</v>
      </c>
    </row>
  </sheetData>
  <phoneticPr fontId="2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ACB89F73-211A-4969-B3F5-E79611FFD8F5}">
          <x14:colorSeries theme="9" tint="0.39997558519241921"/>
          <x14:colorNegative theme="0" tint="-0.499984740745262"/>
          <x14:colorAxis rgb="FF000000"/>
          <x14:colorMarkers theme="9" tint="0.79998168889431442"/>
          <x14:colorFirst theme="9" tint="-0.249977111117893"/>
          <x14:colorLast theme="9" tint="-0.249977111117893"/>
          <x14:colorHigh theme="9" tint="-0.499984740745262"/>
          <x14:colorLow theme="9" tint="-0.499984740745262"/>
          <x14:sparklines>
            <x14:sparkline>
              <xm:f>'Imported Information'!B2:H2</xm:f>
              <xm:sqref>I2</xm:sqref>
            </x14:sparkline>
            <x14:sparkline>
              <xm:f>'Imported Information'!B3:H3</xm:f>
              <xm:sqref>I3</xm:sqref>
            </x14:sparkline>
            <x14:sparkline>
              <xm:f>'Imported Information'!B4:H4</xm:f>
              <xm:sqref>I4</xm:sqref>
            </x14:sparkline>
            <x14:sparkline>
              <xm:f>'Imported Information'!B5:H5</xm:f>
              <xm:sqref>I5</xm:sqref>
            </x14:sparkline>
            <x14:sparkline>
              <xm:f>'Imported Information'!B6:H6</xm:f>
              <xm:sqref>I6</xm:sqref>
            </x14:sparkline>
            <x14:sparkline>
              <xm:f>'Imported Information'!B7:H7</xm:f>
              <xm:sqref>I7</xm:sqref>
            </x14:sparkline>
            <x14:sparkline>
              <xm:f>'Imported Information'!B8:H8</xm:f>
              <xm:sqref>I8</xm:sqref>
            </x14:sparkline>
            <x14:sparkline>
              <xm:f>'Imported Information'!B9:H9</xm:f>
              <xm:sqref>I9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7DB5A-4416-48A7-BBEF-FDBC872688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Caribbean Student Numbers</vt:lpstr>
      <vt:lpstr>EquipmentDetailsNew (3)</vt:lpstr>
      <vt:lpstr>EquipmentDetailsold</vt:lpstr>
      <vt:lpstr>Imported Information</vt:lpstr>
      <vt:lpstr>Students</vt:lpstr>
    </vt:vector>
  </TitlesOfParts>
  <Company>MOS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 1 Project 1</dc:title>
  <dc:creator>Dave Murphy</dc:creator>
  <cp:lastModifiedBy>raghu prasad konandur</cp:lastModifiedBy>
  <dcterms:created xsi:type="dcterms:W3CDTF">2016-06-12T06:41:54Z</dcterms:created>
  <dcterms:modified xsi:type="dcterms:W3CDTF">2026-02-12T09:17:51Z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igitalTimer_1" visible="true" label="DigitalTimer" imageMso="SignaturesLoading" onAction="DigitalTimer"/>
      </mso:documentControls>
    </mso:qat>
  </mso:ribbon>
</mso:customUI>
</file>